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2add76b414e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16cc9d58a47b899be37d30624729f.psmdcp" Id="R17956ef1a0f54f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StyleShop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8" i="1"/>
  <x:c r="C15" i="1"/>
  <x:c r="C21" i="1"/>
  <x:c r="C27" i="1"/>
  <x:c r="C33" i="1"/>
  <x:c r="C39" i="1"/>
  <x:c r="C45" i="1"/>
  <x:c r="C51" i="1"/>
  <x:c r="C5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<x:sst xmlns:x="http://schemas.openxmlformats.org/spreadsheetml/2006/main">
  <x:si>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</x:si>
  <x:si>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</x:si>
  <x:si>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</x:si>
  <x:si>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</x:si>
  <x:si>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</x:si>
  <x:si>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</x:si>
  <x:si>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</x:si>
  <x:si>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</x:si>
  <x:si>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</x:si>
  <x:si>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</x:si>
  <x:si>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</x:si>
  <x:si>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</x:si>
  <x:si>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</x:si>
  <x:si>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</x:si>
  <x:si>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</x:si>
  <x:si>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</x:si>
  <x:si>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</x:si>
  <x:si>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38</x:t>
  </x:si>
  <x:si>
    <x:t>StyleShop -&gt; Registration</x:t>
  </x:si>
  <x:si>
    <x:t>Нет</x:t>
  </x:si>
  <x:si>
    <x:t/>
  </x:si>
  <x:si>
    <x:t>Средний</x:t>
  </x:si>
  <x:si>
    <x:t>Готов</x:t>
  </x:si>
  <x:si>
    <x:t>8/7/2026 23:41:48</x:t>
  </x:si>
  <x:si>
    <x:t>Елена Грабко</x:t>
  </x:si>
  <x:si>
    <x:t>0h 10m 0s</x:t>
  </x:si>
  <x:si>
    <x:t>Открыта страница регистрации. Пользователь с указанным email ранее не был зарегистрирован.</x:t>
  </x:si>
  <x:si>
    <x:t>ввести корректное имя</x:t>
  </x:si>
  <x:si>
    <x:t>поле принимает значение</x:t>
  </x:si>
  <x:si>
    <x:t>ввести корректный email</x:t>
  </x:si>
  <x:si>
    <x:t>ввести корректный пароль</x:t>
  </x:si>
  <x:si>
    <x:t>нажать кнопку “зарегистрироваться”</x:t>
  </x:si>
  <x:si>
    <x:t>пользователь успешно зарегистрирован, отображается сообщение об успешной регистрации и выполняется переход в личный кабинет</x:t>
  </x:si>
  <x:si>
    <x:t>39</x:t>
  </x:si>
  <x:si>
    <x:t>8/9/2026 18:05:12</x:t>
  </x:si>
  <x:si>
    <x:t>Открыта страница регистрации.</x:t>
  </x:si>
  <x:si>
    <x:t>Оставить поле "Имя" пустым</x:t>
  </x:si>
  <x:si>
    <x:t>Поле остаётся пустым. Сообщение об ошибке не отображается до отправки формы.</x:t>
  </x:si>
  <x:si>
    <x:t>Ввести корректный email</x:t>
  </x:si>
  <x:si>
    <x:t>Email принят, сообщение об ошибке не отображается.</x:t>
  </x:si>
  <x:si>
    <x:t>Ввести корректный пароль</x:t>
  </x:si>
  <x:si>
    <x:t>Пароль принят, сообщение об ошибке не отображается.</x:t>
  </x:si>
  <x:si>
    <x:t>Нажать кнопку "Зарегистрироваться"</x:t>
  </x:si>
  <x:si>
    <x:t>Регистрация не выполняется. Для поля "Имя" отображается сообщение о необходимости заполнить обязательное поле.</x:t>
  </x:si>
  <x:si>
    <x:t>40</x:t>
  </x:si>
  <x:si>
    <x:t>Высокий</x:t>
  </x:si>
  <x:si>
    <x:t>Требуется доработка</x:t>
  </x:si>
  <x:si>
    <x:t>8/9/2026 18:08:53</x:t>
  </x:si>
  <x:si>
    <x:t>Пользователь находится на странице регистрации.</x:t>
  </x:si>
  <x:si>
    <x:t>Открыть страницу регистрации</x:t>
  </x:si>
  <x:si>
    <x:t>Отображается форма регистрации</x:t>
  </x:si>
  <x:si>
    <x:t>Оставить поле Email пустым</x:t>
  </x:si>
  <x:si>
    <x:t>Поле "Email"  остаётся пустым</x:t>
  </x:si>
  <x:si>
    <x:t>Заполнить остальные обязательные поля валидными данными</x:t>
  </x:si>
  <x:si>
    <x:t>Все остальные обязательные поля заполнены корректными данными</x:t>
  </x:si>
  <x:si>
    <x:t>Регистрация не выполняется. Для поля "Email" отображается сообщение об ошибке о необходимости заполнить поле</x:t>
  </x:si>
  <x:si>
    <x:t>41</x:t>
  </x:si>
  <x:si>
    <x:t>8/9/2026 18:10:51</x:t>
  </x:si>
  <x:si>
    <x:t>Пользователь находится на странице регистрации</x:t>
  </x:si>
  <x:si>
    <x:t>Оставить поле "Пароль" пустым</x:t>
  </x:si>
  <x:si>
    <x:t>Поле "Пароль" остаётся пустым</x:t>
  </x:si>
  <x:si>
    <x:t>Регистрация не выполняется. Для поля "Пароль" отображается сообщение об ошибке о необходимости заполнить поле</x:t>
  </x:si>
  <x:si>
    <x:t>42</x:t>
  </x:si>
  <x:si>
    <x:t>8/9/2026 18:12:30</x:t>
  </x:si>
  <x:si>
    <x:t>Пользователь находится на странице регистрации.  Email, используемый для проверки, уже зарегистрирован в системе</x:t>
  </x:si>
  <x:si>
    <x:t>Ввести в поле "Email"  адрес электронной почты, который уже зарегистрирован в системе</x:t>
  </x:si>
  <x:si>
    <x:t>В поле "Email" отображается введеный адрес</x:t>
  </x:si>
  <x:si>
    <x:t>Регистрация не выполняется. Отображается сообщение о том, что указанный Email уже зарегистрирован</x:t>
  </x:si>
  <x:si>
    <x:t>43</x:t>
  </x:si>
  <x:si>
    <x:t>8/9/2026 18:13:28</x:t>
  </x:si>
  <x:si>
    <x:t>Ввести в поле "Email" адрес электронной почты без символа @</x:t>
  </x:si>
  <x:si>
    <x:t>В поле "Email" отображается введенное значение</x:t>
  </x:si>
  <x:si>
    <x:t>Регистрация не выполняется. Для поля "Email" отображается сообщение об ошибке о некорректном формате электронной почты</x:t>
  </x:si>
  <x:si>
    <x:t>44</x:t>
  </x:si>
  <x:si>
    <x:t>8/9/2026 18:15:20</x:t>
  </x:si>
  <x:si>
    <x:t>Ввести в поле «Пароль» пароль, содержащий менее 8 символов</x:t>
  </x:si>
  <x:si>
    <x:t>В поле «Пароль» отображается введенное значение</x:t>
  </x:si>
  <x:si>
    <x:t>Нажать кнопку «Зарегистрироваться»</x:t>
  </x:si>
  <x:si>
    <x:t>Регистрация не выполняется. Для поля «Пароль» отображается сообщение об ошибке о том, что пароль должен содержать не менее 8 символов</x:t>
  </x:si>
  <x:si>
    <x:t>45</x:t>
  </x:si>
  <x:si>
    <x:t>8/9/2026 18:16:01</x:t>
  </x:si>
  <x:si>
    <x:t>Ввести в поле «Пароль» пароль, содержащий не менее 8 символов, но не содержащий заглавных букв</x:t>
  </x:si>
  <x:si>
    <x:t>Регистрация не выполняется. Для поля «Пароль» отображается сообщение об ошибке о необходимости использовать заглавную букву</x:t>
  </x:si>
  <x:si>
    <x:t>46</x:t>
  </x:si>
  <x:si>
    <x:t>8/9/2026 18:16:24</x:t>
  </x:si>
  <x:si>
    <x:t>Ввести в поле «Пароль» пароль, содержащий не менее 8 символов и заглавную букву, но не содержащий цифр</x:t>
  </x:si>
  <x:si>
    <x:t>Регистрация не выполняется. Для поля «Пароль» отображается сообщение об ошибке о необходимости использовать цифру</x:t>
  </x:si>
  <x:si>
    <x:t>47</x:t>
  </x:si>
  <x:si>
    <x:t>8/9/2026 18:17:06</x:t>
  </x:si>
  <x:si>
    <x:t>Ввести в поле «Имя» значение, содержащее более 20 символов</x:t>
  </x:si>
  <x:si>
    <x:t>В поле «Имя» отображается введенное значение</x:t>
  </x:si>
  <x:si>
    <x:t>Регистрация не выполняется. Для поля «Имя» отображается сообщение об ошибке о превышении допустимой длины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</x:si>
</x:sst>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2" totalsRowShown="0">
  <x:autoFilter ref="A1:Q62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2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3.424911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4" width="16.853482" style="1" customWidth="1"/>
    <x:col min="15" max="15" width="13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HYPERLINK("https://team-angi.testit.software/projects/36/tests/38", "Успешная регистрация нового пользователя")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28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28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32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33</x:v>
      </x:c>
      <x:c r="B8" s="2" t="s">
        <x:v>18</x:v>
      </x:c>
      <x:c r="C8" s="2">
        <x:f>HYPERLINK("https://team-angi.testit.software/projects/36/tests/39", "Регистрация с пустым полем ""Имя""")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34</x:v>
      </x:c>
      <x:c r="O8" s="1" t="s">
        <x:v>24</x:v>
      </x:c>
      <x:c r="P8" s="1" t="s">
        <x:v>25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35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36</x:v>
      </x:c>
      <x:c r="G10" s="1" t="s">
        <x:v>20</x:v>
      </x:c>
      <x:c r="H10" s="1" t="s">
        <x:v>37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38</x:v>
      </x:c>
      <x:c r="G11" s="1" t="s">
        <x:v>20</x:v>
      </x:c>
      <x:c r="H11" s="1" t="s">
        <x:v>39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41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42</x:v>
      </x:c>
      <x:c r="G13" s="1" t="s">
        <x:v>20</x:v>
      </x:c>
      <x:c r="H13" s="1" t="s">
        <x:v>43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44</x:v>
      </x:c>
      <x:c r="B15" s="2" t="s">
        <x:v>18</x:v>
      </x:c>
      <x:c r="C15" s="2">
        <x:f>HYPERLINK("https://team-angi.testit.software/projects/36/tests/40", "Регистрация с пустым полем ""Email""")</x:f>
      </x:c>
      <x:c r="D15" s="1" t="s">
        <x:v>19</x:v>
      </x:c>
      <x:c r="E15" s="1" t="s">
        <x:v>20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45</x:v>
      </x:c>
      <x:c r="M15" s="1" t="s">
        <x:v>46</x:v>
      </x:c>
      <x:c r="N15" s="1" t="s">
        <x:v>47</x:v>
      </x:c>
      <x:c r="O15" s="1" t="s">
        <x:v>24</x:v>
      </x:c>
      <x:c r="P15" s="1" t="s">
        <x:v>25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48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49</x:v>
      </x:c>
      <x:c r="G17" s="1" t="s">
        <x:v>20</x:v>
      </x:c>
      <x:c r="H17" s="1" t="s">
        <x:v>50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51</x:v>
      </x:c>
      <x:c r="G18" s="1" t="s">
        <x:v>20</x:v>
      </x:c>
      <x:c r="H18" s="1" t="s">
        <x:v>52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53</x:v>
      </x:c>
      <x:c r="G19" s="1" t="s">
        <x:v>20</x:v>
      </x:c>
      <x:c r="H19" s="1" t="s">
        <x:v>54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42</x:v>
      </x:c>
      <x:c r="G20" s="1" t="s">
        <x:v>20</x:v>
      </x:c>
      <x:c r="H20" s="1" t="s">
        <x:v>55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56</x:v>
      </x:c>
      <x:c r="B21" s="2" t="s">
        <x:v>18</x:v>
      </x:c>
      <x:c r="C21" s="2">
        <x:f>HYPERLINK("https://team-angi.testit.software/projects/36/tests/41", "Регистрация с пустым полем ""Пароль""")</x:f>
      </x:c>
      <x:c r="D21" s="1" t="s">
        <x:v>19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45</x:v>
      </x:c>
      <x:c r="M21" s="1" t="s">
        <x:v>46</x:v>
      </x:c>
      <x:c r="N21" s="1" t="s">
        <x:v>57</x:v>
      </x:c>
      <x:c r="O21" s="1" t="s">
        <x:v>24</x:v>
      </x:c>
      <x:c r="P21" s="1" t="s">
        <x:v>25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58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49</x:v>
      </x:c>
      <x:c r="G23" s="1" t="s">
        <x:v>20</x:v>
      </x:c>
      <x:c r="H23" s="1" t="s">
        <x:v>50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59</x:v>
      </x:c>
      <x:c r="G24" s="1" t="s">
        <x:v>20</x:v>
      </x:c>
      <x:c r="H24" s="1" t="s">
        <x:v>60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53</x:v>
      </x:c>
      <x:c r="G25" s="1" t="s">
        <x:v>20</x:v>
      </x:c>
      <x:c r="H25" s="1" t="s">
        <x:v>54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42</x:v>
      </x:c>
      <x:c r="G26" s="1" t="s">
        <x:v>20</x:v>
      </x:c>
      <x:c r="H26" s="1" t="s">
        <x:v>61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62</x:v>
      </x:c>
      <x:c r="B27" s="2" t="s">
        <x:v>18</x:v>
      </x:c>
      <x:c r="C27" s="2">
        <x:f>HYPERLINK("https://team-angi.testit.software/projects/36/tests/42", "Регистрация с уже существующим email")</x:f>
      </x:c>
      <x:c r="D27" s="1" t="s">
        <x:v>19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21</x:v>
      </x:c>
      <x:c r="M27" s="1" t="s">
        <x:v>22</x:v>
      </x:c>
      <x:c r="N27" s="1" t="s">
        <x:v>63</x:v>
      </x:c>
      <x:c r="O27" s="1" t="s">
        <x:v>24</x:v>
      </x:c>
      <x:c r="P27" s="1" t="s">
        <x:v>25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64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49</x:v>
      </x:c>
      <x:c r="G29" s="1" t="s">
        <x:v>20</x:v>
      </x:c>
      <x:c r="H29" s="1" t="s">
        <x:v>50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65</x:v>
      </x:c>
      <x:c r="G30" s="1" t="s">
        <x:v>20</x:v>
      </x:c>
      <x:c r="H30" s="1" t="s">
        <x:v>66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53</x:v>
      </x:c>
      <x:c r="G31" s="1" t="s">
        <x:v>20</x:v>
      </x:c>
      <x:c r="H31" s="1" t="s">
        <x:v>54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42</x:v>
      </x:c>
      <x:c r="G32" s="1" t="s">
        <x:v>20</x:v>
      </x:c>
      <x:c r="H32" s="1" t="s">
        <x:v>67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68</x:v>
      </x:c>
      <x:c r="B33" s="2" t="s">
        <x:v>18</x:v>
      </x:c>
      <x:c r="C33" s="2">
        <x:f>HYPERLINK("https://team-angi.testit.software/projects/36/tests/43", "Регистрация с email без символа @")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45</x:v>
      </x:c>
      <x:c r="M33" s="1" t="s">
        <x:v>46</x:v>
      </x:c>
      <x:c r="N33" s="1" t="s">
        <x:v>69</x:v>
      </x:c>
      <x:c r="O33" s="1" t="s">
        <x:v>24</x:v>
      </x:c>
      <x:c r="P33" s="1" t="s">
        <x:v>25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58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49</x:v>
      </x:c>
      <x:c r="G35" s="1" t="s">
        <x:v>20</x:v>
      </x:c>
      <x:c r="H35" s="1" t="s">
        <x:v>50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70</x:v>
      </x:c>
      <x:c r="G36" s="1" t="s">
        <x:v>20</x:v>
      </x:c>
      <x:c r="H36" s="1" t="s">
        <x:v>71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53</x:v>
      </x:c>
      <x:c r="G37" s="1" t="s">
        <x:v>20</x:v>
      </x:c>
      <x:c r="H37" s="1" t="s">
        <x:v>54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42</x:v>
      </x:c>
      <x:c r="G38" s="1" t="s">
        <x:v>20</x:v>
      </x:c>
      <x:c r="H38" s="1" t="s">
        <x:v>72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73</x:v>
      </x:c>
      <x:c r="B39" s="2" t="s">
        <x:v>18</x:v>
      </x:c>
      <x:c r="C39" s="2">
        <x:f>HYPERLINK("https://team-angi.testit.software/projects/36/tests/44", "Регистрация с паролем менее 8 символов ")</x:f>
      </x:c>
      <x:c r="D39" s="1" t="s">
        <x:v>19</x:v>
      </x:c>
      <x:c r="E39" s="1" t="s">
        <x:v>20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21</x:v>
      </x:c>
      <x:c r="M39" s="1" t="s">
        <x:v>46</x:v>
      </x:c>
      <x:c r="N39" s="1" t="s">
        <x:v>74</x:v>
      </x:c>
      <x:c r="O39" s="1" t="s">
        <x:v>24</x:v>
      </x:c>
      <x:c r="P39" s="1" t="s">
        <x:v>25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58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49</x:v>
      </x:c>
      <x:c r="G41" s="1" t="s">
        <x:v>20</x:v>
      </x:c>
      <x:c r="H41" s="1" t="s">
        <x:v>50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75</x:v>
      </x:c>
      <x:c r="G42" s="1" t="s">
        <x:v>20</x:v>
      </x:c>
      <x:c r="H42" s="1" t="s">
        <x:v>76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53</x:v>
      </x:c>
      <x:c r="G43" s="1" t="s">
        <x:v>20</x:v>
      </x:c>
      <x:c r="H43" s="1" t="s">
        <x:v>54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77</x:v>
      </x:c>
      <x:c r="G44" s="1" t="s">
        <x:v>20</x:v>
      </x:c>
      <x:c r="H44" s="1" t="s">
        <x:v>78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79</x:v>
      </x:c>
      <x:c r="B45" s="2" t="s">
        <x:v>18</x:v>
      </x:c>
      <x:c r="C45" s="2">
        <x:f>HYPERLINK("https://team-angi.testit.software/projects/36/tests/45", "Регистрация без заглавной буквы в пароле")</x:f>
      </x:c>
      <x:c r="D45" s="1" t="s">
        <x:v>19</x:v>
      </x:c>
      <x:c r="E45" s="1" t="s">
        <x:v>20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21</x:v>
      </x:c>
      <x:c r="M45" s="1" t="s">
        <x:v>22</x:v>
      </x:c>
      <x:c r="N45" s="1" t="s">
        <x:v>80</x:v>
      </x:c>
      <x:c r="O45" s="1" t="s">
        <x:v>24</x:v>
      </x:c>
      <x:c r="P45" s="1" t="s">
        <x:v>25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58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49</x:v>
      </x:c>
      <x:c r="G47" s="1" t="s">
        <x:v>20</x:v>
      </x:c>
      <x:c r="H47" s="1" t="s">
        <x:v>50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81</x:v>
      </x:c>
      <x:c r="G48" s="1" t="s">
        <x:v>20</x:v>
      </x:c>
      <x:c r="H48" s="1" t="s">
        <x:v>76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53</x:v>
      </x:c>
      <x:c r="G49" s="1" t="s">
        <x:v>20</x:v>
      </x:c>
      <x:c r="H49" s="1" t="s">
        <x:v>54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77</x:v>
      </x:c>
      <x:c r="G50" s="1" t="s">
        <x:v>20</x:v>
      </x:c>
      <x:c r="H50" s="1" t="s">
        <x:v>82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83</x:v>
      </x:c>
      <x:c r="B51" s="2" t="s">
        <x:v>18</x:v>
      </x:c>
      <x:c r="C51" s="2">
        <x:f>HYPERLINK("https://team-angi.testit.software/projects/36/tests/46", "Регистрация без цифры в пароле ")</x:f>
      </x:c>
      <x:c r="D51" s="1" t="s">
        <x:v>19</x:v>
      </x:c>
      <x:c r="E51" s="1" t="s">
        <x:v>20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21</x:v>
      </x:c>
      <x:c r="M51" s="1" t="s">
        <x:v>22</x:v>
      </x:c>
      <x:c r="N51" s="1" t="s">
        <x:v>84</x:v>
      </x:c>
      <x:c r="O51" s="1" t="s">
        <x:v>24</x:v>
      </x:c>
      <x:c r="P51" s="1" t="s">
        <x:v>25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58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49</x:v>
      </x:c>
      <x:c r="G53" s="1" t="s">
        <x:v>20</x:v>
      </x:c>
      <x:c r="H53" s="1" t="s">
        <x:v>50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85</x:v>
      </x:c>
      <x:c r="G54" s="1" t="s">
        <x:v>20</x:v>
      </x:c>
      <x:c r="H54" s="1" t="s">
        <x:v>76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53</x:v>
      </x:c>
      <x:c r="G55" s="1" t="s">
        <x:v>20</x:v>
      </x:c>
      <x:c r="H55" s="1" t="s">
        <x:v>54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77</x:v>
      </x:c>
      <x:c r="G56" s="1" t="s">
        <x:v>20</x:v>
      </x:c>
      <x:c r="H56" s="1" t="s">
        <x:v>86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87</x:v>
      </x:c>
      <x:c r="B57" s="2" t="s">
        <x:v>18</x:v>
      </x:c>
      <x:c r="C57" s="2">
        <x:f>HYPERLINK("https://team-angi.testit.software/projects/36/tests/47", "Регистрация с именем длиннее 20 символов ")</x:f>
      </x:c>
      <x:c r="D57" s="1" t="s">
        <x:v>19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21</x:v>
      </x:c>
      <x:c r="M57" s="1" t="s">
        <x:v>22</x:v>
      </x:c>
      <x:c r="N57" s="1" t="s">
        <x:v>88</x:v>
      </x:c>
      <x:c r="O57" s="1" t="s">
        <x:v>24</x:v>
      </x:c>
      <x:c r="P57" s="1" t="s">
        <x:v>25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58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49</x:v>
      </x:c>
      <x:c r="G59" s="1" t="s">
        <x:v>20</x:v>
      </x:c>
      <x:c r="H59" s="1" t="s">
        <x:v>50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89</x:v>
      </x:c>
      <x:c r="G60" s="1" t="s">
        <x:v>20</x:v>
      </x:c>
      <x:c r="H60" s="1" t="s">
        <x:v>90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53</x:v>
      </x:c>
      <x:c r="G61" s="1" t="s">
        <x:v>20</x:v>
      </x:c>
      <x:c r="H61" s="1" t="s">
        <x:v>54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77</x:v>
      </x:c>
      <x:c r="G62" s="1" t="s">
        <x:v>20</x:v>
      </x:c>
      <x:c r="H62" s="1" t="s">
        <x:v>91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Project_StyleShop</vt:lpstr>
      <vt:lpstr>Project_StyleShop!Print_Area</vt:lpstr>
      <vt:lpstr>Project_StyleShop!Print_Titles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