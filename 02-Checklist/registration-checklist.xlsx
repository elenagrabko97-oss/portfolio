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6217d08dd49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a92ac751a487cb4c922ce3e6385ac.psmdcp" Id="Rb50a2feadc604e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StyleShop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3" i="1"/>
  <x:c r="C4" i="1"/>
  <x:c r="C5" i="1"/>
  <x:c r="C6" i="1"/>
  <x:c r="C7" i="1"/>
  <x:c r="C8" i="1"/>
  <x:c r="C9" i="1"/>
  <x:c r="C10" i="1"/>
  <x:c r="C11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<x:sst xmlns:x="http://schemas.openxmlformats.org/spreadsheetml/2006/main">
  <x:si>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</x:si>
  <x:si>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</x:si>
  <x:si>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</x:si>
  <x:si>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</x:si>
  <x:si>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</x:si>
  <x:si>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</x:si>
  <x:si>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</x:si>
  <x:si>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</x:si>
  <x:si>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</x:si>
  <x:si>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</x:si>
  <x:si>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</x:si>
  <x:si>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</x:si>
  <x:si>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</x:si>
  <x:si>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</x:si>
  <x:si>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</x:si>
  <x:si>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</x:si>
  <x:si>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</x:si>
  <x:si>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50</x:t>
  </x:si>
  <x:si>
    <x:t>StyleShop -&gt; Registration</x:t>
  </x:si>
  <x:si>
    <x:t>Нет</x:t>
  </x:si>
  <x:si>
    <x:t/>
  </x:si>
  <x:si>
    <x:t>Средний</x:t>
  </x:si>
  <x:si>
    <x:t>Не готов</x:t>
  </x:si>
  <x:si>
    <x:t>9/12/2026 22:14:13</x:t>
  </x:si>
  <x:si>
    <x:t>Елена Грабко</x:t>
  </x:si>
  <x:si>
    <x:t>0h 10m 0s</x:t>
  </x:si>
  <x:si>
    <x:t>51</x:t>
  </x:si>
  <x:si>
    <x:t>9/12/2026 22:16:14</x:t>
  </x:si>
  <x:si>
    <x:t>52</x:t>
  </x:si>
  <x:si>
    <x:t>9/12/2026 22:16:58</x:t>
  </x:si>
  <x:si>
    <x:t>53</x:t>
  </x:si>
  <x:si>
    <x:t>9/12/2026 22:17:18</x:t>
  </x:si>
  <x:si>
    <x:t>54</x:t>
  </x:si>
  <x:si>
    <x:t>9/12/2026 22:17:41</x:t>
  </x:si>
  <x:si>
    <x:t>55</x:t>
  </x:si>
  <x:si>
    <x:t>9/12/2026 22:18:06</x:t>
  </x:si>
  <x:si>
    <x:t>56</x:t>
  </x:si>
  <x:si>
    <x:t>9/12/2026 22:18:36</x:t>
  </x:si>
  <x:si>
    <x:t>57</x:t>
  </x:si>
  <x:si>
    <x:t>9/12/2026 22:19:05</x:t>
  </x:si>
  <x:si>
    <x:t>58</x:t>
  </x:si>
  <x:si>
    <x:t>9/12/2026 22:19:25</x:t>
  </x:si>
  <x:si>
    <x:t>59</x:t>
  </x:si>
  <x:si>
    <x:t>9/12/2026 22:20:16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</x:si>
</x:sst>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1" totalsRowShown="0">
  <x:autoFilter ref="A1:Q11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1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3.424911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1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3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HYPERLINK("https://team-angi.testit.software/projects/36/tests/50", "Успешная регистрация нового пользователя")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26</x:v>
      </x:c>
      <x:c r="B3" s="2" t="s">
        <x:v>18</x:v>
      </x:c>
      <x:c r="C3" s="2">
        <x:f>HYPERLINK("https://team-angi.testit.software/projects/36/tests/51", "Регистрация с пустым полем ""Имя""")</x:f>
      </x:c>
      <x:c r="D3" s="1" t="s">
        <x:v>19</x:v>
      </x:c>
      <x:c r="E3" s="1" t="s">
        <x:v>20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21</x:v>
      </x:c>
      <x:c r="M3" s="1" t="s">
        <x:v>22</x:v>
      </x:c>
      <x:c r="N3" s="1" t="s">
        <x:v>27</x:v>
      </x:c>
      <x:c r="O3" s="1" t="s">
        <x:v>24</x:v>
      </x:c>
      <x:c r="P3" s="1" t="s">
        <x:v>25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HYPERLINK("https://team-angi.testit.software/projects/36/tests/52", "Регистрация с пустым полем ""Email""")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25</x:v>
      </x:c>
      <x:c r="Q4" s="1" t="s">
        <x:v>20</x:v>
      </x:c>
    </x:row>
    <x:row r="5" spans="1:17">
      <x:c r="A5" s="1" t="s">
        <x:v>30</x:v>
      </x:c>
      <x:c r="B5" s="2" t="s">
        <x:v>18</x:v>
      </x:c>
      <x:c r="C5" s="2">
        <x:f>HYPERLINK("https://team-angi.testit.software/projects/36/tests/53", "Регистрация с пустым полем ""Пароль""")</x:f>
      </x:c>
      <x:c r="D5" s="1" t="s">
        <x:v>19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21</x:v>
      </x:c>
      <x:c r="M5" s="1" t="s">
        <x:v>22</x:v>
      </x:c>
      <x:c r="N5" s="1" t="s">
        <x:v>31</x:v>
      </x:c>
      <x:c r="O5" s="1" t="s">
        <x:v>24</x:v>
      </x:c>
      <x:c r="P5" s="1" t="s">
        <x:v>25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HYPERLINK("https://team-angi.testit.software/projects/36/tests/54", "Регистрация с уже существующим email")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25</x:v>
      </x:c>
      <x:c r="Q6" s="1" t="s">
        <x:v>20</x:v>
      </x:c>
    </x:row>
    <x:row r="7" spans="1:17">
      <x:c r="A7" s="1" t="s">
        <x:v>34</x:v>
      </x:c>
      <x:c r="B7" s="2" t="s">
        <x:v>18</x:v>
      </x:c>
      <x:c r="C7" s="2">
        <x:f>HYPERLINK("https://team-angi.testit.software/projects/36/tests/55", "Регистрация с email без символа @")</x:f>
      </x:c>
      <x:c r="D7" s="1" t="s">
        <x:v>19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21</x:v>
      </x:c>
      <x:c r="M7" s="1" t="s">
        <x:v>22</x:v>
      </x:c>
      <x:c r="N7" s="1" t="s">
        <x:v>35</x:v>
      </x:c>
      <x:c r="O7" s="1" t="s">
        <x:v>24</x:v>
      </x:c>
      <x:c r="P7" s="1" t="s">
        <x:v>25</x:v>
      </x:c>
      <x:c r="Q7" s="1" t="s">
        <x:v>20</x:v>
      </x:c>
    </x:row>
    <x:row r="8" spans="1:17">
      <x:c r="A8" s="1" t="s">
        <x:v>36</x:v>
      </x:c>
      <x:c r="B8" s="2" t="s">
        <x:v>18</x:v>
      </x:c>
      <x:c r="C8" s="2">
        <x:f>HYPERLINK("https://team-angi.testit.software/projects/36/tests/56", "Регистрация с паролем менее 8 символов ")</x:f>
      </x:c>
      <x:c r="D8" s="1" t="s">
        <x:v>19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21</x:v>
      </x:c>
      <x:c r="M8" s="1" t="s">
        <x:v>22</x:v>
      </x:c>
      <x:c r="N8" s="1" t="s">
        <x:v>37</x:v>
      </x:c>
      <x:c r="O8" s="1" t="s">
        <x:v>24</x:v>
      </x:c>
      <x:c r="P8" s="1" t="s">
        <x:v>25</x:v>
      </x:c>
      <x:c r="Q8" s="1" t="s">
        <x:v>20</x:v>
      </x:c>
    </x:row>
    <x:row r="9" spans="1:17">
      <x:c r="A9" s="1" t="s">
        <x:v>38</x:v>
      </x:c>
      <x:c r="B9" s="2" t="s">
        <x:v>18</x:v>
      </x:c>
      <x:c r="C9" s="2">
        <x:f>HYPERLINK("https://team-angi.testit.software/projects/36/tests/57", "Регистрация без заглавной буквы в пароле")</x:f>
      </x:c>
      <x:c r="D9" s="1" t="s">
        <x:v>19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21</x:v>
      </x:c>
      <x:c r="M9" s="1" t="s">
        <x:v>22</x:v>
      </x:c>
      <x:c r="N9" s="1" t="s">
        <x:v>39</x:v>
      </x:c>
      <x:c r="O9" s="1" t="s">
        <x:v>24</x:v>
      </x:c>
      <x:c r="P9" s="1" t="s">
        <x:v>25</x:v>
      </x:c>
      <x:c r="Q9" s="1" t="s">
        <x:v>20</x:v>
      </x:c>
    </x:row>
    <x:row r="10" spans="1:17">
      <x:c r="A10" s="1" t="s">
        <x:v>40</x:v>
      </x:c>
      <x:c r="B10" s="2" t="s">
        <x:v>18</x:v>
      </x:c>
      <x:c r="C10" s="2">
        <x:f>HYPERLINK("https://team-angi.testit.software/projects/36/tests/58", "Регистрация без цифры в пароле ")</x:f>
      </x:c>
      <x:c r="D10" s="1" t="s">
        <x:v>19</x:v>
      </x:c>
      <x:c r="E10" s="1" t="s">
        <x:v>20</x:v>
      </x:c>
      <x:c r="F10" s="1" t="s">
        <x:v>20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21</x:v>
      </x:c>
      <x:c r="M10" s="1" t="s">
        <x:v>22</x:v>
      </x:c>
      <x:c r="N10" s="1" t="s">
        <x:v>41</x:v>
      </x:c>
      <x:c r="O10" s="1" t="s">
        <x:v>24</x:v>
      </x:c>
      <x:c r="P10" s="1" t="s">
        <x:v>25</x:v>
      </x:c>
      <x:c r="Q10" s="1" t="s">
        <x:v>20</x:v>
      </x:c>
    </x:row>
    <x:row r="11" spans="1:17">
      <x:c r="A11" s="1" t="s">
        <x:v>42</x:v>
      </x:c>
      <x:c r="B11" s="2" t="s">
        <x:v>18</x:v>
      </x:c>
      <x:c r="C11" s="2">
        <x:f>HYPERLINK("https://team-angi.testit.software/projects/36/tests/59", "Регистрация с именем длиннее 20 символов ")</x:f>
      </x:c>
      <x:c r="D11" s="1" t="s">
        <x:v>19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21</x:v>
      </x:c>
      <x:c r="M11" s="1" t="s">
        <x:v>22</x:v>
      </x:c>
      <x:c r="N11" s="1" t="s">
        <x:v>43</x:v>
      </x:c>
      <x:c r="O11" s="1" t="s">
        <x:v>24</x:v>
      </x:c>
      <x:c r="P11" s="1" t="s">
        <x:v>25</x:v>
      </x:c>
      <x:c r="Q11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Project_StyleShop</vt:lpstr>
      <vt:lpstr>Project_StyleShop!Print_Area</vt:lpstr>
      <vt:lpstr>Project_StyleShop!Print_Titles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